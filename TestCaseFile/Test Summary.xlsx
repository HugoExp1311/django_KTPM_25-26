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KTPM\Project\Document\"/>
    </mc:Choice>
  </mc:AlternateContent>
  <xr:revisionPtr revIDLastSave="0" documentId="13_ncr:1_{5C139C79-A34B-45AA-9B38-124EE2EA1BEF}" xr6:coauthVersionLast="47" xr6:coauthVersionMax="47" xr10:uidLastSave="{00000000-0000-0000-0000-000000000000}"/>
  <bookViews>
    <workbookView xWindow="-108" yWindow="-108" windowWidth="23256" windowHeight="12456" activeTab="2" xr2:uid="{BAC6660D-EB6C-4500-BA11-8FA19E16AA14}"/>
  </bookViews>
  <sheets>
    <sheet name="Test Summary" sheetId="1" r:id="rId1"/>
    <sheet name="Defect Summary" sheetId="2" r:id="rId2"/>
    <sheet name="Test Metric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  <c r="B9" i="3"/>
  <c r="B8" i="3"/>
  <c r="B7" i="3"/>
  <c r="B5" i="3"/>
  <c r="B4" i="3"/>
  <c r="B3" i="3"/>
  <c r="B2" i="3"/>
  <c r="B1" i="3"/>
  <c r="B12" i="1"/>
  <c r="C10" i="1"/>
  <c r="D10" i="1"/>
  <c r="E10" i="1"/>
  <c r="F10" i="1"/>
  <c r="B10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<sst xmlns="http://schemas.openxmlformats.org/spreadsheetml/2006/main" count="50" uniqueCount="40">
  <si>
    <t>Module</t>
  </si>
  <si>
    <t>Total Test Cases</t>
  </si>
  <si>
    <t>Executed</t>
  </si>
  <si>
    <t>Pass</t>
  </si>
  <si>
    <t>Fail</t>
  </si>
  <si>
    <t>N/A</t>
  </si>
  <si>
    <t>Pass Rate (%)</t>
  </si>
  <si>
    <t>M01_SignIn</t>
  </si>
  <si>
    <t>M02_SignUp</t>
  </si>
  <si>
    <t>M03_ViewCart</t>
  </si>
  <si>
    <t>M04_ViewProduct</t>
  </si>
  <si>
    <t>M05_SearchProduct</t>
  </si>
  <si>
    <t>M06_ManageProduct</t>
  </si>
  <si>
    <t>M07_ManageUser</t>
  </si>
  <si>
    <t>M08_Checkout</t>
  </si>
  <si>
    <t>Tổng</t>
  </si>
  <si>
    <t>Test successful coverage</t>
  </si>
  <si>
    <t>Defect ID</t>
  </si>
  <si>
    <t>Testcase ID</t>
  </si>
  <si>
    <t>Title/Short Description</t>
  </si>
  <si>
    <t>Priority</t>
  </si>
  <si>
    <t>Severity</t>
  </si>
  <si>
    <t>#1</t>
  </si>
  <si>
    <t>#2</t>
  </si>
  <si>
    <t>#3</t>
  </si>
  <si>
    <t>M03-4</t>
  </si>
  <si>
    <t>Không xóa sản phẩm khi số lượng = 0</t>
  </si>
  <si>
    <t>High</t>
  </si>
  <si>
    <t>Major</t>
  </si>
  <si>
    <t>M07-4</t>
  </si>
  <si>
    <t>Admin vẫn có thể xóa chính mình</t>
  </si>
  <si>
    <t>Critical</t>
  </si>
  <si>
    <t>M08-3</t>
  </si>
  <si>
    <t>Medium</t>
  </si>
  <si>
    <t>Không kiểm tra trường bắt buộc</t>
  </si>
  <si>
    <t>Tổng số test case</t>
  </si>
  <si>
    <t>Số test case đã chạy</t>
  </si>
  <si>
    <t>Tỷ lệ Pass</t>
  </si>
  <si>
    <t>Tổng số defect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</si>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</sst>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0560-1060-47F6-8381-7054BB2F6684}">
  <dimension ref="A1:G12"/>
  <sheetViews>
    <sheetView workbookViewId="0">
      <selection activeCell="C19" sqref="C19"/>
    </sheetView>
  </sheetViews>
  <sheetFormatPr defaultRowHeight="14.4" x14ac:dyDescent="0.3"/>
  <cols>
    <col min="1" max="1" width="24.5546875" style="1" customWidth="1"/>
    <col min="2" max="2" width="18" style="1" customWidth="1"/>
    <col min="3" max="3" width="12.6640625" style="1" customWidth="1"/>
    <col min="4" max="6" width="8.88671875" style="1"/>
    <col min="7" max="7" width="14.5546875" style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4</v>
      </c>
      <c r="C2" s="1">
        <v>4</v>
      </c>
      <c r="D2" s="1">
        <v>4</v>
      </c>
      <c r="E2" s="1">
        <v>0</v>
      </c>
      <c r="F2" s="1">
        <v>0</v>
      </c>
      <c r="G2" s="2">
        <f>D2/C2</f>
        <v>1</v>
      </c>
    </row>
    <row r="3" spans="1:7" x14ac:dyDescent="0.3">
      <c r="A3" s="1" t="s">
        <v>8</v>
      </c>
      <c r="B3" s="1">
        <v>3</v>
      </c>
      <c r="C3" s="1">
        <v>3</v>
      </c>
      <c r="D3" s="1">
        <v>3</v>
      </c>
      <c r="E3" s="1">
        <v>0</v>
      </c>
      <c r="F3" s="1">
        <v>0</v>
      </c>
      <c r="G3" s="2">
        <f t="shared" ref="G3:G9" si="0">D3/C3</f>
        <v>1</v>
      </c>
    </row>
    <row r="4" spans="1:7" x14ac:dyDescent="0.3">
      <c r="A4" s="1" t="s">
        <v>9</v>
      </c>
      <c r="B4" s="1">
        <v>4</v>
      </c>
      <c r="C4" s="1">
        <v>4</v>
      </c>
      <c r="D4" s="1">
        <v>3</v>
      </c>
      <c r="E4" s="1">
        <v>1</v>
      </c>
      <c r="F4" s="1">
        <v>0</v>
      </c>
      <c r="G4" s="2">
        <f t="shared" si="0"/>
        <v>0.75</v>
      </c>
    </row>
    <row r="5" spans="1:7" x14ac:dyDescent="0.3">
      <c r="A5" s="1" t="s">
        <v>10</v>
      </c>
      <c r="B5" s="1">
        <v>2</v>
      </c>
      <c r="C5" s="1">
        <v>2</v>
      </c>
      <c r="D5" s="1">
        <v>2</v>
      </c>
      <c r="E5" s="1">
        <v>0</v>
      </c>
      <c r="F5" s="1">
        <v>0</v>
      </c>
      <c r="G5" s="2">
        <f t="shared" si="0"/>
        <v>1</v>
      </c>
    </row>
    <row r="6" spans="1:7" x14ac:dyDescent="0.3">
      <c r="A6" s="1" t="s">
        <v>11</v>
      </c>
      <c r="B6" s="1">
        <v>3</v>
      </c>
      <c r="C6" s="1">
        <v>3</v>
      </c>
      <c r="D6" s="1">
        <v>3</v>
      </c>
      <c r="E6" s="1">
        <v>0</v>
      </c>
      <c r="F6" s="1">
        <v>0</v>
      </c>
      <c r="G6" s="2">
        <f t="shared" si="0"/>
        <v>1</v>
      </c>
    </row>
    <row r="7" spans="1:7" x14ac:dyDescent="0.3">
      <c r="A7" s="1" t="s">
        <v>12</v>
      </c>
      <c r="B7" s="1">
        <v>5</v>
      </c>
      <c r="C7" s="1">
        <v>5</v>
      </c>
      <c r="D7" s="1">
        <v>5</v>
      </c>
      <c r="E7" s="1">
        <v>0</v>
      </c>
      <c r="F7" s="1">
        <v>0</v>
      </c>
      <c r="G7" s="2">
        <f t="shared" si="0"/>
        <v>1</v>
      </c>
    </row>
    <row r="8" spans="1:7" x14ac:dyDescent="0.3">
      <c r="A8" s="1" t="s">
        <v>13</v>
      </c>
      <c r="B8" s="1">
        <v>4</v>
      </c>
      <c r="C8" s="1">
        <v>4</v>
      </c>
      <c r="D8" s="1">
        <v>3</v>
      </c>
      <c r="E8" s="1">
        <v>1</v>
      </c>
      <c r="F8" s="1">
        <v>0</v>
      </c>
      <c r="G8" s="2">
        <f t="shared" si="0"/>
        <v>0.75</v>
      </c>
    </row>
    <row r="9" spans="1:7" x14ac:dyDescent="0.3">
      <c r="A9" s="1" t="s">
        <v>14</v>
      </c>
      <c r="B9" s="1">
        <v>4</v>
      </c>
      <c r="C9" s="1">
        <v>4</v>
      </c>
      <c r="D9" s="1">
        <v>3</v>
      </c>
      <c r="E9" s="1">
        <v>1</v>
      </c>
      <c r="F9" s="1">
        <v>0</v>
      </c>
      <c r="G9" s="2">
        <f t="shared" si="0"/>
        <v>0.75</v>
      </c>
    </row>
    <row r="10" spans="1:7" x14ac:dyDescent="0.3">
      <c r="A10" s="1" t="s">
        <v>15</v>
      </c>
      <c r="B10" s="1">
        <f>SUM(B2:B9)</f>
        <v>29</v>
      </c>
      <c r="C10" s="1">
        <f t="shared" ref="C10:F10" si="1">SUM(C2:C9)</f>
        <v>29</v>
      </c>
      <c r="D10" s="1">
        <f t="shared" si="1"/>
        <v>26</v>
      </c>
      <c r="E10" s="1">
        <f t="shared" si="1"/>
        <v>3</v>
      </c>
      <c r="F10" s="1">
        <f t="shared" si="1"/>
        <v>0</v>
      </c>
      <c r="G10" s="2"/>
    </row>
    <row r="12" spans="1:7" x14ac:dyDescent="0.3">
      <c r="A12" s="1" t="s">
        <v>16</v>
      </c>
      <c r="B12" s="2">
        <f>D10/(C10-F10)</f>
        <v>0.89655172413793105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A095-1202-411F-89E4-336AB3F6209E}">
  <dimension ref="A1:F4"/>
  <sheetViews>
    <sheetView workbookViewId="0">
      <selection activeCell="B8" sqref="B7:B8"/>
    </sheetView>
  </sheetViews>
  <sheetFormatPr defaultRowHeight="14.4" x14ac:dyDescent="0.3"/>
  <cols>
    <col min="1" max="1" width="11" style="1" customWidth="1"/>
    <col min="2" max="2" width="16.88671875" style="1" customWidth="1"/>
    <col min="3" max="3" width="12.5546875" style="1" customWidth="1"/>
    <col min="4" max="4" width="38.77734375" style="1" customWidth="1"/>
    <col min="5" max="5" width="11.88671875" style="1" customWidth="1"/>
    <col min="6" max="6" width="11.21875" style="1" customWidth="1"/>
    <col min="7" max="16384" width="8.88671875" style="1"/>
  </cols>
  <sheetData>
    <row r="1" spans="1:6" x14ac:dyDescent="0.3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s="1" t="s">
        <v>22</v>
      </c>
      <c r="B2" s="1" t="s">
        <v>9</v>
      </c>
      <c r="C2" s="1" t="s">
        <v>25</v>
      </c>
      <c r="D2" s="1" t="s">
        <v>26</v>
      </c>
      <c r="E2" s="1" t="s">
        <v>27</v>
      </c>
      <c r="F2" s="1" t="s">
        <v>28</v>
      </c>
    </row>
    <row r="3" spans="1:6" x14ac:dyDescent="0.3">
      <c r="A3" s="1" t="s">
        <v>23</v>
      </c>
      <c r="B3" s="1" t="s">
        <v>13</v>
      </c>
      <c r="C3" s="1" t="s">
        <v>29</v>
      </c>
      <c r="D3" s="1" t="s">
        <v>30</v>
      </c>
      <c r="E3" s="1" t="s">
        <v>27</v>
      </c>
      <c r="F3" s="1" t="s">
        <v>31</v>
      </c>
    </row>
    <row r="4" spans="1:6" x14ac:dyDescent="0.3">
      <c r="A4" s="1" t="s">
        <v>24</v>
      </c>
      <c r="B4" s="1" t="s">
        <v>14</v>
      </c>
      <c r="C4" s="1" t="s">
        <v>32</v>
      </c>
      <c r="D4" s="1" t="s">
        <v>34</v>
      </c>
      <c r="E4" s="1" t="s">
        <v>33</v>
      </c>
      <c r="F4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12E1-1A6D-4651-BEA4-BF7182F74CAD}">
  <dimension ref="A1:B9"/>
  <sheetViews>
    <sheetView tabSelected="1" workbookViewId="0">
      <selection activeCell="C16" sqref="C16"/>
    </sheetView>
  </sheetViews>
  <sheetFormatPr defaultRowHeight="14.4" x14ac:dyDescent="0.3"/>
  <cols>
    <col min="1" max="1" width="20.6640625" style="1" customWidth="1"/>
    <col min="2" max="2" width="10.88671875" style="1" customWidth="1"/>
    <col min="3" max="3" width="24.5546875" style="1" customWidth="1"/>
    <col min="4" max="4" width="11.44140625" style="1" customWidth="1"/>
    <col min="5" max="16384" width="8.88671875" style="1"/>
  </cols>
  <sheetData>
    <row r="1" spans="1:2" x14ac:dyDescent="0.3">
      <c r="A1" s="1" t="s">
        <v>35</v>
      </c>
      <c r="B1" s="1">
        <f>'Test Summary'!B10</f>
        <v>29</v>
      </c>
    </row>
    <row r="2" spans="1:2" x14ac:dyDescent="0.3">
      <c r="A2" s="1" t="s">
        <v>36</v>
      </c>
      <c r="B2" s="1">
        <f>'Test Summary'!C10</f>
        <v>29</v>
      </c>
    </row>
    <row r="3" spans="1:2" x14ac:dyDescent="0.3">
      <c r="A3" s="1" t="s">
        <v>3</v>
      </c>
      <c r="B3" s="1">
        <f>'Test Summary'!D10</f>
        <v>26</v>
      </c>
    </row>
    <row r="4" spans="1:2" x14ac:dyDescent="0.3">
      <c r="A4" s="1" t="s">
        <v>4</v>
      </c>
      <c r="B4" s="1">
        <f>'Test Summary'!E10</f>
        <v>3</v>
      </c>
    </row>
    <row r="5" spans="1:2" x14ac:dyDescent="0.3">
      <c r="A5" s="1" t="s">
        <v>37</v>
      </c>
      <c r="B5" s="2">
        <f>'Test Summary'!B12</f>
        <v>0.89655172413793105</v>
      </c>
    </row>
    <row r="6" spans="1:2" x14ac:dyDescent="0.3">
      <c r="A6" s="1" t="s">
        <v>38</v>
      </c>
      <c r="B6" s="1">
        <f>COUNTA('Defect Summary'!A:A)-1</f>
        <v>3</v>
      </c>
    </row>
    <row r="7" spans="1:2" x14ac:dyDescent="0.3">
      <c r="A7" s="1" t="s">
        <v>31</v>
      </c>
      <c r="B7" s="1">
        <f>COUNTIF('Defect Summary'!$F$2:$F$4,"Critical")</f>
        <v>1</v>
      </c>
    </row>
    <row r="8" spans="1:2" x14ac:dyDescent="0.3">
      <c r="A8" s="1" t="s">
        <v>28</v>
      </c>
      <c r="B8" s="1">
        <f>COUNTIF('Defect Summary'!$F$2:$F$4,"Major")</f>
        <v>2</v>
      </c>
    </row>
    <row r="9" spans="1:2" x14ac:dyDescent="0.3">
      <c r="A9" s="1" t="s">
        <v>39</v>
      </c>
      <c r="B9" s="1">
        <f>COUNTIF('Defect Summary'!$F$2:$F$4,"Minor")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Defect Summary</vt:lpstr>
      <vt:lpstr>Test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Anh Đỗ</dc:creator>
  <cp:lastModifiedBy>Tuấn Anh Đỗ</cp:lastModifiedBy>
  <dcterms:created xsi:type="dcterms:W3CDTF">2025-12-04T09:07:07Z</dcterms:created>
  <dcterms:modified xsi:type="dcterms:W3CDTF">2025-12-10T07:28:39Z</dcterms:modified>
</cp:coreProperties>
</file>